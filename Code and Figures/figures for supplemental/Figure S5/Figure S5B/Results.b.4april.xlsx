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400723/Library/CloudStorage/Dropbox/Quasiparticle Poisoning stuff/Science Advances referee reports/microsoft topological gap data/data from nature 2025 supplemental material/files from imagej/4 april files/"/>
    </mc:Choice>
  </mc:AlternateContent>
  <xr:revisionPtr revIDLastSave="0" documentId="13_ncr:9_{18CD1AFB-4D29-3E43-A0C1-7FB3FD5D2F2A}" xr6:coauthVersionLast="47" xr6:coauthVersionMax="47" xr10:uidLastSave="{00000000-0000-0000-0000-000000000000}"/>
  <bookViews>
    <workbookView xWindow="800" yWindow="680" windowWidth="17940" windowHeight="15920" xr2:uid="{7F2426CB-9DA4-014B-9532-479466379090}"/>
  </bookViews>
  <sheets>
    <sheet name="Results.b.4apr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5" i="1"/>
  <c r="D24" i="1"/>
  <c r="D16" i="1"/>
  <c r="D17" i="1"/>
  <c r="D18" i="1"/>
  <c r="D19" i="1"/>
  <c r="D20" i="1"/>
  <c r="D21" i="1"/>
  <c r="D22" i="1"/>
  <c r="D23" i="1"/>
  <c r="D15" i="1"/>
</calcChain>
</file>

<file path=xl/sharedStrings.xml><?xml version="1.0" encoding="utf-8"?>
<sst xmlns="http://schemas.openxmlformats.org/spreadsheetml/2006/main" count="12" uniqueCount="12">
  <si>
    <t xml:space="preserve"> </t>
  </si>
  <si>
    <t>X</t>
  </si>
  <si>
    <t>Y</t>
  </si>
  <si>
    <t>this column is the signal</t>
  </si>
  <si>
    <t>value on scale bar</t>
  </si>
  <si>
    <t>calibration is done by linear interpolation from nearest values on scale bar</t>
  </si>
  <si>
    <t>scaled value</t>
  </si>
  <si>
    <t>data are sorted by signal size to group the calibration points to simplify  typing in the formulas</t>
  </si>
  <si>
    <t>data from scale bar</t>
  </si>
  <si>
    <t>calibrated value</t>
  </si>
  <si>
    <t>digitizing the data from Fig S7b of the Supplementary Material to Interferometric Single-Shot Parity Measurement in InAs-Al Hybrid Devices by Microsoft Azure Quantum, https://static-content.springer.com/esm/art%3A10.1038%2Fs41586-024-08445-2/MediaObjects/41586_2024_8445_MOESM1_ESM.pdf</t>
  </si>
  <si>
    <t>the procedure was done twice and errors were about plus or minus 0.1, so calibrated values are kept with one digit past the decimal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</si>
</sst>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DE3C-E964-EF47-893A-D9059FCEA221}">
  <dimension ref="A1:I38"/>
  <sheetViews>
    <sheetView tabSelected="1" topLeftCell="C1" workbookViewId="0">
      <selection activeCell="I15" sqref="I15"/>
    </sheetView>
  </sheetViews>
  <sheetFormatPr baseColWidth="10" defaultRowHeight="16" x14ac:dyDescent="0.2"/>
  <cols>
    <col min="2" max="2" width="10.83203125" style="1"/>
    <col min="3" max="3" width="10.83203125" style="2"/>
    <col min="4" max="4" width="10.83203125" style="3"/>
  </cols>
  <sheetData>
    <row r="1" spans="1:9" x14ac:dyDescent="0.2">
      <c r="A1" t="s">
        <v>10</v>
      </c>
    </row>
    <row r="2" spans="1:9" ht="34" x14ac:dyDescent="0.2">
      <c r="A2" t="s">
        <v>0</v>
      </c>
      <c r="B2" s="1" t="s">
        <v>3</v>
      </c>
      <c r="D2" s="3" t="s">
        <v>6</v>
      </c>
      <c r="F2" t="s">
        <v>1</v>
      </c>
      <c r="G2" t="s">
        <v>2</v>
      </c>
    </row>
    <row r="3" spans="1:9" x14ac:dyDescent="0.2">
      <c r="I3" t="s">
        <v>5</v>
      </c>
    </row>
    <row r="4" spans="1:9" x14ac:dyDescent="0.2">
      <c r="A4" t="s">
        <v>8</v>
      </c>
      <c r="C4" s="2" t="s">
        <v>4</v>
      </c>
      <c r="I4" t="s">
        <v>7</v>
      </c>
    </row>
    <row r="5" spans="1:9" x14ac:dyDescent="0.2">
      <c r="A5">
        <v>1</v>
      </c>
      <c r="B5" s="1">
        <v>46</v>
      </c>
      <c r="C5" s="2">
        <v>-60</v>
      </c>
      <c r="F5">
        <v>1022</v>
      </c>
      <c r="G5">
        <v>1248</v>
      </c>
      <c r="I5" t="s">
        <v>11</v>
      </c>
    </row>
    <row r="6" spans="1:9" x14ac:dyDescent="0.2">
      <c r="A6">
        <v>2</v>
      </c>
      <c r="B6" s="1">
        <v>75</v>
      </c>
      <c r="C6" s="2">
        <v>-50</v>
      </c>
      <c r="F6">
        <v>1017.5</v>
      </c>
      <c r="G6">
        <v>1149.5</v>
      </c>
    </row>
    <row r="7" spans="1:9" x14ac:dyDescent="0.2">
      <c r="A7">
        <v>3</v>
      </c>
      <c r="B7" s="1">
        <v>112</v>
      </c>
      <c r="C7" s="2">
        <v>-40</v>
      </c>
      <c r="F7">
        <v>1019.5</v>
      </c>
      <c r="G7">
        <v>1049.5</v>
      </c>
    </row>
    <row r="8" spans="1:9" x14ac:dyDescent="0.2">
      <c r="A8">
        <v>4</v>
      </c>
      <c r="B8" s="1">
        <v>153</v>
      </c>
      <c r="C8" s="2">
        <v>-30</v>
      </c>
      <c r="F8">
        <v>1019.5</v>
      </c>
      <c r="G8">
        <v>947.5</v>
      </c>
    </row>
    <row r="9" spans="1:9" x14ac:dyDescent="0.2">
      <c r="A9">
        <v>5</v>
      </c>
      <c r="B9" s="1">
        <v>193</v>
      </c>
      <c r="C9" s="2">
        <v>-20</v>
      </c>
      <c r="F9">
        <v>1019.5</v>
      </c>
      <c r="G9">
        <v>845.5</v>
      </c>
    </row>
    <row r="10" spans="1:9" x14ac:dyDescent="0.2">
      <c r="A10">
        <v>6</v>
      </c>
      <c r="B10" s="1">
        <v>228</v>
      </c>
      <c r="C10" s="2">
        <v>-10</v>
      </c>
      <c r="F10">
        <v>1021.5</v>
      </c>
      <c r="G10">
        <v>741.5</v>
      </c>
    </row>
    <row r="11" spans="1:9" x14ac:dyDescent="0.2">
      <c r="A11">
        <v>7</v>
      </c>
      <c r="B11" s="1">
        <v>247</v>
      </c>
      <c r="C11" s="2">
        <v>0</v>
      </c>
      <c r="F11">
        <v>1021.5</v>
      </c>
      <c r="G11">
        <v>641.5</v>
      </c>
    </row>
    <row r="13" spans="1:9" x14ac:dyDescent="0.2">
      <c r="D13" s="3" t="s">
        <v>9</v>
      </c>
    </row>
    <row r="14" spans="1:9" x14ac:dyDescent="0.2">
      <c r="A14">
        <v>12</v>
      </c>
      <c r="B14" s="1">
        <v>125</v>
      </c>
      <c r="D14" s="3">
        <f>C$7+10*(B14-B$7)/(B$8-B$7)</f>
        <v>-36.829268292682926</v>
      </c>
      <c r="F14">
        <v>187.5</v>
      </c>
      <c r="G14">
        <v>693.5</v>
      </c>
    </row>
    <row r="15" spans="1:9" x14ac:dyDescent="0.2">
      <c r="A15">
        <v>18</v>
      </c>
      <c r="B15" s="1">
        <v>178</v>
      </c>
      <c r="D15" s="3">
        <f>C$8+10*(B15-B$8)/(B$9-B$8)</f>
        <v>-23.75</v>
      </c>
      <c r="F15">
        <v>247.5</v>
      </c>
      <c r="G15">
        <v>689.5</v>
      </c>
    </row>
    <row r="16" spans="1:9" x14ac:dyDescent="0.2">
      <c r="A16">
        <v>10</v>
      </c>
      <c r="B16" s="1">
        <v>187</v>
      </c>
      <c r="D16" s="3">
        <f>C$8+10*(B16-B$8)/(B$9-B$8)</f>
        <v>-21.5</v>
      </c>
      <c r="F16">
        <v>149.5</v>
      </c>
      <c r="G16">
        <v>663.5</v>
      </c>
    </row>
    <row r="17" spans="1:7" x14ac:dyDescent="0.2">
      <c r="A17">
        <v>15</v>
      </c>
      <c r="B17" s="1">
        <v>187</v>
      </c>
      <c r="D17" s="3">
        <f>C$8+10*(B17-B$8)/(B$9-B$8)</f>
        <v>-21.5</v>
      </c>
      <c r="F17">
        <v>215.5</v>
      </c>
      <c r="G17">
        <v>689.5</v>
      </c>
    </row>
    <row r="18" spans="1:7" x14ac:dyDescent="0.2">
      <c r="A18">
        <v>28</v>
      </c>
      <c r="B18" s="1">
        <v>187</v>
      </c>
      <c r="D18" s="3">
        <f>C$8+10*(B18-B$8)/(B$9-B$8)</f>
        <v>-21.5</v>
      </c>
      <c r="F18">
        <v>309.5</v>
      </c>
      <c r="G18">
        <v>605.5</v>
      </c>
    </row>
    <row r="19" spans="1:7" x14ac:dyDescent="0.2">
      <c r="A19">
        <v>8</v>
      </c>
      <c r="B19" s="1">
        <v>188</v>
      </c>
      <c r="D19" s="3">
        <f>C$8+10*(B19-B$8)/(B$9-B$8)</f>
        <v>-21.25</v>
      </c>
      <c r="F19">
        <v>121.5</v>
      </c>
      <c r="G19">
        <v>629.5</v>
      </c>
    </row>
    <row r="20" spans="1:7" x14ac:dyDescent="0.2">
      <c r="A20">
        <v>9</v>
      </c>
      <c r="B20" s="1">
        <v>188</v>
      </c>
      <c r="D20" s="3">
        <f>C$8+10*(B20-B$8)/(B$9-B$8)</f>
        <v>-21.25</v>
      </c>
      <c r="F20">
        <v>121.5</v>
      </c>
      <c r="G20">
        <v>661.5</v>
      </c>
    </row>
    <row r="21" spans="1:7" x14ac:dyDescent="0.2">
      <c r="A21">
        <v>11</v>
      </c>
      <c r="B21" s="1">
        <v>188</v>
      </c>
      <c r="D21" s="3">
        <f>C$8+10*(B21-B$8)/(B$9-B$8)</f>
        <v>-21.25</v>
      </c>
      <c r="F21">
        <v>147.5</v>
      </c>
      <c r="G21">
        <v>635.5</v>
      </c>
    </row>
    <row r="22" spans="1:7" x14ac:dyDescent="0.2">
      <c r="A22">
        <v>17</v>
      </c>
      <c r="B22" s="1">
        <v>188</v>
      </c>
      <c r="D22" s="3">
        <f>C$8+10*(B22-B$8)/(B$9-B$8)</f>
        <v>-21.25</v>
      </c>
      <c r="F22">
        <v>217.5</v>
      </c>
      <c r="G22">
        <v>631.5</v>
      </c>
    </row>
    <row r="23" spans="1:7" x14ac:dyDescent="0.2">
      <c r="A23">
        <v>20</v>
      </c>
      <c r="B23" s="1">
        <v>188</v>
      </c>
      <c r="D23" s="3">
        <f>C$8+10*(B23-B$8)/(B$9-B$8)</f>
        <v>-21.25</v>
      </c>
      <c r="F23">
        <v>249.5</v>
      </c>
      <c r="G23">
        <v>627.5</v>
      </c>
    </row>
    <row r="24" spans="1:7" x14ac:dyDescent="0.2">
      <c r="A24">
        <v>24</v>
      </c>
      <c r="B24" s="1">
        <v>188</v>
      </c>
      <c r="D24" s="3">
        <f>C$8+10*(B24-B$8)/(B$9-B$8)</f>
        <v>-21.25</v>
      </c>
      <c r="F24">
        <v>279.5</v>
      </c>
      <c r="G24">
        <v>627.5</v>
      </c>
    </row>
    <row r="25" spans="1:7" x14ac:dyDescent="0.2">
      <c r="A25">
        <v>27</v>
      </c>
      <c r="B25" s="1">
        <v>197</v>
      </c>
      <c r="D25" s="3">
        <f>C$9+10*(B25-B$9)/(B$10-B$9)</f>
        <v>-18.857142857142858</v>
      </c>
      <c r="F25">
        <v>313.5</v>
      </c>
      <c r="G25">
        <v>643.5</v>
      </c>
    </row>
    <row r="26" spans="1:7" x14ac:dyDescent="0.2">
      <c r="A26">
        <v>29</v>
      </c>
      <c r="B26" s="1">
        <v>197</v>
      </c>
      <c r="D26" s="3">
        <f t="shared" ref="D26:D38" si="0">C$9+10*(B26-B$9)/(B$10-B$9)</f>
        <v>-18.857142857142858</v>
      </c>
      <c r="F26">
        <v>339.5</v>
      </c>
      <c r="G26">
        <v>665.5</v>
      </c>
    </row>
    <row r="27" spans="1:7" x14ac:dyDescent="0.2">
      <c r="A27">
        <v>13</v>
      </c>
      <c r="B27" s="1">
        <v>198</v>
      </c>
      <c r="D27" s="3">
        <f t="shared" si="0"/>
        <v>-18.571428571428573</v>
      </c>
      <c r="F27">
        <v>183.5</v>
      </c>
      <c r="G27">
        <v>661.5</v>
      </c>
    </row>
    <row r="28" spans="1:7" x14ac:dyDescent="0.2">
      <c r="A28">
        <v>14</v>
      </c>
      <c r="B28" s="1">
        <v>198</v>
      </c>
      <c r="D28" s="3">
        <f t="shared" si="0"/>
        <v>-18.571428571428573</v>
      </c>
      <c r="F28">
        <v>183.5</v>
      </c>
      <c r="G28">
        <v>629.5</v>
      </c>
    </row>
    <row r="29" spans="1:7" x14ac:dyDescent="0.2">
      <c r="A29">
        <v>21</v>
      </c>
      <c r="B29" s="1">
        <v>198</v>
      </c>
      <c r="D29" s="3">
        <f t="shared" si="0"/>
        <v>-18.571428571428573</v>
      </c>
      <c r="F29">
        <v>249.5</v>
      </c>
      <c r="G29">
        <v>597.5</v>
      </c>
    </row>
    <row r="30" spans="1:7" x14ac:dyDescent="0.2">
      <c r="A30">
        <v>25</v>
      </c>
      <c r="B30" s="1">
        <v>198</v>
      </c>
      <c r="D30" s="3">
        <f t="shared" si="0"/>
        <v>-18.571428571428573</v>
      </c>
      <c r="F30">
        <v>281.5</v>
      </c>
      <c r="G30">
        <v>599.5</v>
      </c>
    </row>
    <row r="31" spans="1:7" x14ac:dyDescent="0.2">
      <c r="A31">
        <v>26</v>
      </c>
      <c r="B31" s="1">
        <v>198</v>
      </c>
      <c r="D31" s="3">
        <f t="shared" si="0"/>
        <v>-18.571428571428573</v>
      </c>
      <c r="F31">
        <v>315.5</v>
      </c>
      <c r="G31">
        <v>663.5</v>
      </c>
    </row>
    <row r="32" spans="1:7" x14ac:dyDescent="0.2">
      <c r="A32">
        <v>30</v>
      </c>
      <c r="B32" s="1">
        <v>198</v>
      </c>
      <c r="D32" s="3">
        <f t="shared" si="0"/>
        <v>-18.571428571428573</v>
      </c>
      <c r="F32">
        <v>341.5</v>
      </c>
      <c r="G32">
        <v>635.5</v>
      </c>
    </row>
    <row r="33" spans="1:7" x14ac:dyDescent="0.2">
      <c r="A33">
        <v>16</v>
      </c>
      <c r="B33" s="1">
        <v>206</v>
      </c>
      <c r="D33" s="3">
        <f t="shared" si="0"/>
        <v>-16.285714285714285</v>
      </c>
      <c r="F33">
        <v>217.5</v>
      </c>
      <c r="G33">
        <v>659.5</v>
      </c>
    </row>
    <row r="34" spans="1:7" x14ac:dyDescent="0.2">
      <c r="A34">
        <v>23</v>
      </c>
      <c r="B34" s="1">
        <v>206</v>
      </c>
      <c r="D34" s="3">
        <f t="shared" si="0"/>
        <v>-16.285714285714285</v>
      </c>
      <c r="F34">
        <v>279.5</v>
      </c>
      <c r="G34">
        <v>661.5</v>
      </c>
    </row>
    <row r="35" spans="1:7" x14ac:dyDescent="0.2">
      <c r="A35">
        <v>19</v>
      </c>
      <c r="B35" s="1">
        <v>207</v>
      </c>
      <c r="D35" s="3">
        <f t="shared" si="0"/>
        <v>-16</v>
      </c>
      <c r="F35">
        <v>247.5</v>
      </c>
      <c r="G35">
        <v>659.5</v>
      </c>
    </row>
    <row r="36" spans="1:7" x14ac:dyDescent="0.2">
      <c r="A36">
        <v>22</v>
      </c>
      <c r="B36" s="1">
        <v>217</v>
      </c>
      <c r="D36" s="3">
        <f t="shared" si="0"/>
        <v>-13.142857142857142</v>
      </c>
      <c r="F36">
        <v>279.5</v>
      </c>
      <c r="G36">
        <v>693.5</v>
      </c>
    </row>
    <row r="37" spans="1:7" x14ac:dyDescent="0.2">
      <c r="A37">
        <v>31</v>
      </c>
      <c r="B37" s="1">
        <v>217</v>
      </c>
      <c r="D37" s="3">
        <f t="shared" si="0"/>
        <v>-13.142857142857142</v>
      </c>
      <c r="F37">
        <v>379.5</v>
      </c>
      <c r="G37">
        <v>665.5</v>
      </c>
    </row>
    <row r="38" spans="1:7" x14ac:dyDescent="0.2">
      <c r="A38">
        <v>32</v>
      </c>
      <c r="B38" s="1">
        <v>225</v>
      </c>
      <c r="D38" s="3">
        <f t="shared" si="0"/>
        <v>-10.857142857142858</v>
      </c>
      <c r="F38">
        <v>405.5</v>
      </c>
      <c r="G38">
        <v>661.5</v>
      </c>
    </row>
  </sheetData>
  <sortState xmlns:xlrd2="http://schemas.microsoft.com/office/spreadsheetml/2017/richdata2" ref="A14:I38">
    <sortCondition ref="B14:B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Results.b.4april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Coppersmith</cp:lastModifiedBy>
  <dcterms:created xsi:type="dcterms:W3CDTF">2026-04-04T10:07:39Z</dcterms:created>
  <dcterms:modified xsi:type="dcterms:W3CDTF">2026-04-08T00:43:33Z</dcterms:modified>
  <cp:category/>
</cp:coreProperties>
</file>