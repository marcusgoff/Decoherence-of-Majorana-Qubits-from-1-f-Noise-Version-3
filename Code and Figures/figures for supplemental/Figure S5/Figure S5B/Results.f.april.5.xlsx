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3400723/Library/CloudStorage/Dropbox/Quasiparticle Poisoning stuff/Science Advances referee reports/microsoft topological gap data/data from nature 2025 supplemental material/files from imagej/4 april files/"/>
    </mc:Choice>
  </mc:AlternateContent>
  <xr:revisionPtr revIDLastSave="0" documentId="13_ncr:9_{E6062407-E9A0-5A4D-804A-1F417EC1F2D4}" xr6:coauthVersionLast="47" xr6:coauthVersionMax="47" xr10:uidLastSave="{00000000-0000-0000-0000-000000000000}"/>
  <bookViews>
    <workbookView xWindow="5100" yWindow="680" windowWidth="19340" windowHeight="15920" xr2:uid="{9954D584-D52B-2141-9699-53F7B6D7BEDF}"/>
  </bookViews>
  <sheets>
    <sheet name="Results.f.april.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" i="1" l="1"/>
  <c r="D16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</calcChain>
</file>

<file path=xl/sharedStrings.xml><?xml version="1.0" encoding="utf-8"?>
<sst xmlns="http://schemas.openxmlformats.org/spreadsheetml/2006/main" count="13" uniqueCount="11">
  <si>
    <t xml:space="preserve"> </t>
  </si>
  <si>
    <t>X</t>
  </si>
  <si>
    <t>Y</t>
  </si>
  <si>
    <t>digitizing the data from Fig S7b of the Supplementary Material to Interferometric Single-Shot Parity Measurement in InAs-Al Hybrid Devices by Microsoft Azure Quantum, https://static-content.springer.com/esm/art%3A10.1038%2Fs41586-024-08445-2/MediaObjects/41586_2024_8445_MOESM1_ESM.pdf</t>
  </si>
  <si>
    <t>this column is the signal</t>
  </si>
  <si>
    <t>scaled value</t>
  </si>
  <si>
    <t>calibration is done by linear interpolation from nearest values on scale bar</t>
  </si>
  <si>
    <t>data from scale bar</t>
  </si>
  <si>
    <t>value on scale bar</t>
  </si>
  <si>
    <t>data are sorted by signal size to group the calibration points to simplify  typing in the formulas</t>
  </si>
  <si>
    <t>data from measurements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</si>
</sst>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2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22F59-12EB-644D-A566-6AC55B33DC11}">
  <dimension ref="A1:I33"/>
  <sheetViews>
    <sheetView tabSelected="1" topLeftCell="A3" workbookViewId="0">
      <selection activeCell="J24" sqref="J24"/>
    </sheetView>
  </sheetViews>
  <sheetFormatPr baseColWidth="10" defaultRowHeight="16" x14ac:dyDescent="0.2"/>
  <cols>
    <col min="3" max="3" width="10.83203125" style="2"/>
    <col min="4" max="4" width="10.83203125" style="3"/>
  </cols>
  <sheetData>
    <row r="1" spans="1:9" x14ac:dyDescent="0.2">
      <c r="A1" t="s">
        <v>3</v>
      </c>
      <c r="B1" s="1"/>
    </row>
    <row r="2" spans="1:9" ht="34" x14ac:dyDescent="0.2">
      <c r="A2" t="s">
        <v>0</v>
      </c>
      <c r="B2" s="1" t="s">
        <v>4</v>
      </c>
      <c r="D2" s="3" t="s">
        <v>5</v>
      </c>
      <c r="F2" t="s">
        <v>1</v>
      </c>
      <c r="G2" t="s">
        <v>2</v>
      </c>
    </row>
    <row r="3" spans="1:9" x14ac:dyDescent="0.2">
      <c r="B3" s="1"/>
      <c r="I3" t="s">
        <v>6</v>
      </c>
    </row>
    <row r="4" spans="1:9" x14ac:dyDescent="0.2">
      <c r="A4" t="s">
        <v>7</v>
      </c>
      <c r="B4" s="1"/>
      <c r="C4" s="2" t="s">
        <v>8</v>
      </c>
      <c r="I4" t="s">
        <v>9</v>
      </c>
    </row>
    <row r="6" spans="1:9" x14ac:dyDescent="0.2">
      <c r="A6" t="s">
        <v>0</v>
      </c>
    </row>
    <row r="7" spans="1:9" x14ac:dyDescent="0.2">
      <c r="A7">
        <v>1</v>
      </c>
      <c r="B7">
        <v>45</v>
      </c>
      <c r="C7" s="2">
        <v>-60</v>
      </c>
      <c r="F7">
        <v>1020</v>
      </c>
      <c r="G7">
        <v>668</v>
      </c>
    </row>
    <row r="8" spans="1:9" x14ac:dyDescent="0.2">
      <c r="A8">
        <v>2</v>
      </c>
      <c r="B8">
        <v>75</v>
      </c>
      <c r="C8" s="2">
        <v>-50</v>
      </c>
      <c r="F8">
        <v>1016.833</v>
      </c>
      <c r="G8">
        <v>616.83299999999997</v>
      </c>
    </row>
    <row r="9" spans="1:9" x14ac:dyDescent="0.2">
      <c r="A9">
        <v>3</v>
      </c>
      <c r="B9">
        <v>112</v>
      </c>
      <c r="C9" s="2">
        <v>-40</v>
      </c>
      <c r="F9">
        <v>1015.5</v>
      </c>
      <c r="G9">
        <v>566.16700000000003</v>
      </c>
    </row>
    <row r="10" spans="1:9" x14ac:dyDescent="0.2">
      <c r="A10">
        <v>4</v>
      </c>
      <c r="B10">
        <v>153</v>
      </c>
      <c r="C10" s="2">
        <v>-30</v>
      </c>
      <c r="F10">
        <v>1015.5</v>
      </c>
      <c r="G10">
        <v>515.5</v>
      </c>
    </row>
    <row r="11" spans="1:9" x14ac:dyDescent="0.2">
      <c r="A11">
        <v>5</v>
      </c>
      <c r="B11">
        <v>195</v>
      </c>
      <c r="C11" s="2">
        <v>-20</v>
      </c>
      <c r="F11">
        <v>1016.833</v>
      </c>
      <c r="G11">
        <v>463.5</v>
      </c>
    </row>
    <row r="12" spans="1:9" x14ac:dyDescent="0.2">
      <c r="A12">
        <v>6</v>
      </c>
      <c r="B12">
        <v>227</v>
      </c>
      <c r="C12" s="2">
        <v>-10</v>
      </c>
      <c r="F12">
        <v>1018.167</v>
      </c>
      <c r="G12">
        <v>414.16699999999997</v>
      </c>
    </row>
    <row r="13" spans="1:9" x14ac:dyDescent="0.2">
      <c r="A13">
        <v>7</v>
      </c>
      <c r="B13">
        <v>246</v>
      </c>
      <c r="C13" s="2">
        <v>0</v>
      </c>
      <c r="F13">
        <v>1018.167</v>
      </c>
      <c r="G13">
        <v>362.16699999999997</v>
      </c>
    </row>
    <row r="15" spans="1:9" x14ac:dyDescent="0.2">
      <c r="A15" t="s">
        <v>10</v>
      </c>
      <c r="D15" s="3" t="s">
        <v>5</v>
      </c>
    </row>
    <row r="16" spans="1:9" x14ac:dyDescent="0.2">
      <c r="A16">
        <v>14</v>
      </c>
      <c r="B16">
        <v>147</v>
      </c>
      <c r="D16" s="3">
        <f>C$9+10*(B16-B$9)/(B$10-B$9)</f>
        <v>-31.463414634146339</v>
      </c>
      <c r="F16">
        <v>310.16699999999997</v>
      </c>
      <c r="G16">
        <v>331.5</v>
      </c>
    </row>
    <row r="17" spans="1:7" x14ac:dyDescent="0.2">
      <c r="A17">
        <v>18</v>
      </c>
      <c r="B17">
        <v>147</v>
      </c>
      <c r="D17" s="3">
        <f>C$9+10*(B17-B$9)/(B$10-B$9)</f>
        <v>-31.463414634146339</v>
      </c>
      <c r="F17">
        <v>374.16699999999997</v>
      </c>
      <c r="G17">
        <v>299.5</v>
      </c>
    </row>
    <row r="18" spans="1:7" x14ac:dyDescent="0.2">
      <c r="A18">
        <v>13</v>
      </c>
      <c r="B18">
        <v>157</v>
      </c>
      <c r="D18" s="3">
        <f>C$10+10*(B18-B$10)/(B$11-B$10)</f>
        <v>-29.047619047619047</v>
      </c>
      <c r="F18">
        <v>311.5</v>
      </c>
      <c r="G18">
        <v>344.83300000000003</v>
      </c>
    </row>
    <row r="19" spans="1:7" x14ac:dyDescent="0.2">
      <c r="A19">
        <v>21</v>
      </c>
      <c r="B19">
        <v>166</v>
      </c>
      <c r="D19" s="3">
        <f>C$10+10*(B19-B$10)/(B$11-B$10)</f>
        <v>-26.904761904761905</v>
      </c>
      <c r="F19">
        <v>404.83300000000003</v>
      </c>
      <c r="G19">
        <v>284.83300000000003</v>
      </c>
    </row>
    <row r="20" spans="1:7" x14ac:dyDescent="0.2">
      <c r="A20">
        <v>9</v>
      </c>
      <c r="B20">
        <v>179</v>
      </c>
      <c r="D20" s="3">
        <f>C$10+10*(B20-B$10)/(B$11-B$10)</f>
        <v>-23.80952380952381</v>
      </c>
      <c r="F20">
        <v>246.167</v>
      </c>
      <c r="G20">
        <v>362.16699999999997</v>
      </c>
    </row>
    <row r="21" spans="1:7" x14ac:dyDescent="0.2">
      <c r="A21">
        <v>11</v>
      </c>
      <c r="B21">
        <v>179</v>
      </c>
      <c r="D21" s="3">
        <f>C$10+10*(B21-B$10)/(B$11-B$10)</f>
        <v>-23.80952380952381</v>
      </c>
      <c r="F21">
        <v>279.5</v>
      </c>
      <c r="G21">
        <v>362.16699999999997</v>
      </c>
    </row>
    <row r="22" spans="1:7" x14ac:dyDescent="0.2">
      <c r="A22">
        <v>16</v>
      </c>
      <c r="B22">
        <v>179</v>
      </c>
      <c r="D22" s="3">
        <f>C$10+10*(B22-B$10)/(B$11-B$10)</f>
        <v>-23.80952380952381</v>
      </c>
      <c r="F22">
        <v>340.83300000000003</v>
      </c>
      <c r="G22">
        <v>330.16699999999997</v>
      </c>
    </row>
    <row r="23" spans="1:7" x14ac:dyDescent="0.2">
      <c r="A23">
        <v>20</v>
      </c>
      <c r="B23">
        <v>179</v>
      </c>
      <c r="D23" s="3">
        <f>C$10+10*(B23-B$10)/(B$11-B$10)</f>
        <v>-23.80952380952381</v>
      </c>
      <c r="F23">
        <v>403.5</v>
      </c>
      <c r="G23">
        <v>299.5</v>
      </c>
    </row>
    <row r="24" spans="1:7" x14ac:dyDescent="0.2">
      <c r="A24">
        <v>19</v>
      </c>
      <c r="B24">
        <v>188</v>
      </c>
      <c r="D24" s="3">
        <f>C$10+10*(B24-B$10)/(B$11-B$10)</f>
        <v>-21.666666666666664</v>
      </c>
      <c r="F24">
        <v>403.5</v>
      </c>
      <c r="G24">
        <v>316.83300000000003</v>
      </c>
    </row>
    <row r="25" spans="1:7" x14ac:dyDescent="0.2">
      <c r="A25">
        <v>22</v>
      </c>
      <c r="B25">
        <v>188</v>
      </c>
      <c r="D25" s="3">
        <f>C$10+10*(B25-B$10)/(B$11-B$10)</f>
        <v>-21.666666666666664</v>
      </c>
      <c r="F25">
        <v>436.83300000000003</v>
      </c>
      <c r="G25">
        <v>299.5</v>
      </c>
    </row>
    <row r="26" spans="1:7" x14ac:dyDescent="0.2">
      <c r="A26">
        <v>12</v>
      </c>
      <c r="B26">
        <v>198</v>
      </c>
      <c r="D26" s="3">
        <f>C$11+10*(B26-B$11)/(B$12-B$11)</f>
        <v>-19.0625</v>
      </c>
      <c r="F26">
        <v>308.83300000000003</v>
      </c>
      <c r="G26">
        <v>375.5</v>
      </c>
    </row>
    <row r="27" spans="1:7" x14ac:dyDescent="0.2">
      <c r="A27">
        <v>15</v>
      </c>
      <c r="B27">
        <v>198</v>
      </c>
      <c r="D27" s="3">
        <f>C$11+10*(B27-B$11)/(B$12-B$11)</f>
        <v>-19.0625</v>
      </c>
      <c r="F27">
        <v>340.83300000000003</v>
      </c>
      <c r="G27">
        <v>344.83300000000003</v>
      </c>
    </row>
    <row r="28" spans="1:7" x14ac:dyDescent="0.2">
      <c r="A28">
        <v>23</v>
      </c>
      <c r="B28">
        <v>206</v>
      </c>
      <c r="D28" s="3">
        <f>C$11+10*(B28-B$11)/(B$12-B$11)</f>
        <v>-16.5625</v>
      </c>
      <c r="F28">
        <v>467.5</v>
      </c>
      <c r="G28">
        <v>299.5</v>
      </c>
    </row>
    <row r="29" spans="1:7" x14ac:dyDescent="0.2">
      <c r="A29">
        <v>8</v>
      </c>
      <c r="B29">
        <v>217</v>
      </c>
      <c r="D29" s="3">
        <f>C$11+10*(B29-B$11)/(B$12-B$11)</f>
        <v>-13.125</v>
      </c>
      <c r="F29">
        <v>246.167</v>
      </c>
      <c r="G29">
        <v>375.5</v>
      </c>
    </row>
    <row r="30" spans="1:7" x14ac:dyDescent="0.2">
      <c r="A30">
        <v>10</v>
      </c>
      <c r="B30">
        <v>217</v>
      </c>
      <c r="D30" s="3">
        <f>C$11+10*(B30-B$11)/(B$12-B$11)</f>
        <v>-13.125</v>
      </c>
      <c r="F30">
        <v>280.83300000000003</v>
      </c>
      <c r="G30">
        <v>374.16699999999997</v>
      </c>
    </row>
    <row r="31" spans="1:7" x14ac:dyDescent="0.2">
      <c r="A31">
        <v>25</v>
      </c>
      <c r="B31">
        <v>217</v>
      </c>
      <c r="D31" s="3">
        <f>C$11+10*(B31-B$11)/(B$12-B$11)</f>
        <v>-13.125</v>
      </c>
      <c r="F31">
        <v>499.5</v>
      </c>
      <c r="G31">
        <v>286.16699999999997</v>
      </c>
    </row>
    <row r="32" spans="1:7" x14ac:dyDescent="0.2">
      <c r="A32">
        <v>17</v>
      </c>
      <c r="B32">
        <v>225</v>
      </c>
      <c r="D32" s="3">
        <f>C$11+10*(B32-B$11)/(B$12-B$11)</f>
        <v>-10.625</v>
      </c>
      <c r="F32">
        <v>372.83300000000003</v>
      </c>
      <c r="G32">
        <v>330.16699999999997</v>
      </c>
    </row>
    <row r="33" spans="1:7" x14ac:dyDescent="0.2">
      <c r="A33">
        <v>24</v>
      </c>
      <c r="B33">
        <v>225</v>
      </c>
      <c r="D33" s="3">
        <f>C$11+10*(B33-B$11)/(B$12-B$11)</f>
        <v>-10.625</v>
      </c>
      <c r="F33">
        <v>467.5</v>
      </c>
      <c r="G33">
        <v>287.5</v>
      </c>
    </row>
  </sheetData>
  <sortState xmlns:xlrd2="http://schemas.microsoft.com/office/spreadsheetml/2017/richdata2" ref="A16:I33">
    <sortCondition ref="B16:B33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Results.f.april.5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Susan Coppersmith</cp:lastModifiedBy>
  <dcterms:created xsi:type="dcterms:W3CDTF">2026-04-04T21:30:29Z</dcterms:created>
  <dcterms:modified xsi:type="dcterms:W3CDTF">2026-04-05T03:53:43Z</dcterms:modified>
</cp:coreProperties>
</file>